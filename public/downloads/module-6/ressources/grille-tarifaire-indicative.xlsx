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lle de référence" sheetId="1" state="visible" r:id="rId3"/>
    <sheet name="Calculateu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Module 6</author>
  </authors>
  <commentList>
    <comment ref="C19" authorId="0">
      <text>
        <r>
          <rPr>
            <sz val="10"/>
            <rFont val="Arial"/>
            <family val="2"/>
          </rPr>
          <t xml:space="preserve">Approximation, pas un taux de change officiel : dérivée des ratios FCFA/USD déjà utilisés dans grille-tarifaire-indicative.md (ex. 100 000 FCFA ≈ 170 $ → ≈588 FCFA/$). À ajuster selon le taux réel au moment de la mission.</t>
        </r>
      </text>
    </comment>
  </commentList>
</comments>
</file>

<file path=xl/sharedStrings.xml><?xml version="1.0" encoding="utf-8"?>
<sst xmlns="http://schemas.openxmlformats.org/spreadsheetml/2006/main" count="59" uniqueCount="58">
  <si>
    <t xml:space="preserve">Grille tarifaire indicative — Module 6 — Claude AI Mastery 2.0</t>
  </si>
  <si>
    <t xml:space="preserve">Fourchettes indicatives, marché africain/diaspora francophone — reprises telles quelles depuis 09-ressources-telechargeables/grille-tarifaire-indicative.md. Ne pas modifier ces lignes : le Calculateur y renvoie par nom d'offre.</t>
  </si>
  <si>
    <t xml:space="preserve">Offre</t>
  </si>
  <si>
    <t xml:space="preserve">Prix min (FCFA)</t>
  </si>
  <si>
    <t xml:space="preserve">Prix max (FCFA)</t>
  </si>
  <si>
    <t xml:space="preserve">Prix min (USD)</t>
  </si>
  <si>
    <t xml:space="preserve">Prix max (USD)</t>
  </si>
  <si>
    <t xml:space="preserve">Description</t>
  </si>
  <si>
    <t xml:space="preserve">1. OFFRES FREELANCE</t>
  </si>
  <si>
    <t xml:space="preserve">Diagnostic + automatisation initiale (petite mission, ex. 1 rapport)</t>
  </si>
  <si>
    <t xml:space="preserve">Analyse d'une tâche répétitive + mise en place d'une automatisation simple (1 déclencheur → 1 action)</t>
  </si>
  <si>
    <t xml:space="preserve">Diagnostic + automatisation initiale (mission complète, type Fatou/DELTA)</t>
  </si>
  <si>
    <t xml:space="preserve">Automatisation multi-étapes avec tableau de bord associé</t>
  </si>
  <si>
    <t xml:space="preserve">Reporting augmenté à l'IA — diagnostic + mise en place initiale</t>
  </si>
  <si>
    <t xml:space="preserve">Offre nommée de Fatou (04-lecon-ecrite-complete.md) — mêmes montants que la mission complète ci-dessus, paiement unique</t>
  </si>
  <si>
    <t xml:space="preserve">Suivi et ajustement mensuel</t>
  </si>
  <si>
    <t xml:space="preserve">Maintenance, ajustements, support sur une automatisation déjà en place (FCFA/mois)</t>
  </si>
  <si>
    <t xml:space="preserve">Reporting augmenté à l'IA — suivi et ajustement mensuel</t>
  </si>
  <si>
    <t xml:space="preserve">Offre nommée de Fatou — suivi mensuel, selon le nombre de rapports suivis (FCFA/mois)</t>
  </si>
  <si>
    <t xml:space="preserve">Mission ponctuelle courte (ex. nettoyage d'un fichier, 1 dashboard simple)</t>
  </si>
  <si>
    <t xml:space="preserve">Livrable unique, sans suivi mensuel</t>
  </si>
  <si>
    <t xml:space="preserve">2. PRODUITS DIGITAUX</t>
  </si>
  <si>
    <t xml:space="preserve">Template Notion vendable</t>
  </si>
  <si>
    <t xml:space="preserve">Gabarit réutilisable (portfolio, suivi de projet, reporting)</t>
  </si>
  <si>
    <t xml:space="preserve">Pack de prompts packagés (20-30 prompts)</t>
  </si>
  <si>
    <t xml:space="preserve">Prompts prêts à l'emploi sur un métier ou un usage précis</t>
  </si>
  <si>
    <t xml:space="preserve">Mini-formation courte (1-3h, vidéo ou guide)</t>
  </si>
  <si>
    <t xml:space="preserve">Méthode pas à pas sur un usage précis de Claude</t>
  </si>
  <si>
    <t xml:space="preserve">Automatisation en marque blanche (par installation)</t>
  </si>
  <si>
    <t xml:space="preserve">Blueprint Make/automatisation documenté, adapté et installé chez un client final</t>
  </si>
  <si>
    <t xml:space="preserve">Source : modules/module-6-monetisation/09-ressources-telechargeables/grille-tarifaire-indicative.md et 04-lecon-ecrite-complete.md (offre "Reporting augmenté à l'IA", Fatou Diallo). Montants fixes reproduits tels que définis dans le module — ne sont pas des cellules calculées.</t>
  </si>
  <si>
    <t xml:space="preserve">Calculateur de prix — Module 6 — Claude AI Mastery 2.0</t>
  </si>
  <si>
    <t xml:space="preserve">Remplissez les cellules en jaune (entrées) — les résultats en violet se recalculent automatiquement. Persona de référence : Fatou Diallo, consultante indépendante, Dakar.</t>
  </si>
  <si>
    <t xml:space="preserve">Légende</t>
  </si>
  <si>
    <t xml:space="preserve">Cellule jaune = à saisir</t>
  </si>
  <si>
    <t xml:space="preserve">Cellule violette = calculée par formule (ne pas modifier)</t>
  </si>
  <si>
    <t xml:space="preserve">1. Choisissez le type de forfait</t>
  </si>
  <si>
    <t xml:space="preserve">Type de forfait (liste déroulante)</t>
  </si>
  <si>
    <t xml:space="preserve">↳ Fourchette min (FCFA)</t>
  </si>
  <si>
    <t xml:space="preserve">↳ Fourchette max (FCFA)</t>
  </si>
  <si>
    <t xml:space="preserve">↳ Fourchette min (USD)</t>
  </si>
  <si>
    <t xml:space="preserve">↳ Fourchette max (USD)</t>
  </si>
  <si>
    <t xml:space="preserve">2. Calculez votre propre prix à partir du temps estimé</t>
  </si>
  <si>
    <t xml:space="preserve">Nombre d'heures estimées pour la mission</t>
  </si>
  <si>
    <t xml:space="preserve">Taux journalier visé (FCFA, base 8h)</t>
  </si>
  <si>
    <t xml:space="preserve">Heures travaillées par jour (référence)</t>
  </si>
  <si>
    <t xml:space="preserve">Taux de change de référence (FCFA pour 1 USD)</t>
  </si>
  <si>
    <t xml:space="preserve">Taux horaire équivalent (FCFA)</t>
  </si>
  <si>
    <t xml:space="preserve">Prix calculé pour la mission (FCFA)</t>
  </si>
  <si>
    <t xml:space="preserve">Prix calculé pour la mission (USD)</t>
  </si>
  <si>
    <t xml:space="preserve">Position vs fourchette indicative choisie</t>
  </si>
  <si>
    <t xml:space="preserve">3. Vérifiez que vous ne vous sous-évaluez pas</t>
  </si>
  <si>
    <t xml:space="preserve">Règle du module (voir 09-ressources-telechargeables/grille-tarifaire-indicative.md, §4) : comparez votre prix au temps que la tâche coûtait auparavant au client sur un an.</t>
  </si>
  <si>
    <t xml:space="preserve">Heures récupérées par le client sur 1 an (avant automatisation)</t>
  </si>
  <si>
    <t xml:space="preserve">Coût horaire interne estimé du client (FCFA)</t>
  </si>
  <si>
    <t xml:space="preserve">Valeur du temps récupéré sur 1 an (FCFA)</t>
  </si>
  <si>
    <t xml:space="preserve">Votre prix représente quelle part de cette valeur ?</t>
  </si>
  <si>
    <t xml:space="preserve">Verdict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</si>
</sst>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FCFA&quot;"/>
    <numFmt numFmtId="166" formatCode="\$#,##0"/>
    <numFmt numFmtId="16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A556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7530AA"/>
      <name val="Arial"/>
      <family val="0"/>
      <charset val="1"/>
    </font>
    <font>
      <sz val="10"/>
      <color rgb="FF1A1323"/>
      <name val="Arial"/>
      <family val="0"/>
      <charset val="1"/>
    </font>
    <font>
      <i val="true"/>
      <sz val="9"/>
      <color rgb="FF6B6475"/>
      <name val="Arial"/>
      <family val="0"/>
      <charset val="1"/>
    </font>
    <font>
      <b val="true"/>
      <sz val="10"/>
      <color rgb="FF1A1323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1A132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530AA"/>
        <bgColor rgb="FF993366"/>
      </patternFill>
    </fill>
    <fill>
      <patternFill patternType="solid">
        <fgColor rgb="FF1A1323"/>
        <bgColor rgb="FF000000"/>
      </patternFill>
    </fill>
    <fill>
      <patternFill patternType="solid">
        <fgColor rgb="FFFFF6CC"/>
        <bgColor rgb="FFFFFFFF"/>
      </patternFill>
    </fill>
    <fill>
      <patternFill patternType="solid">
        <fgColor rgb="FFF3E9FB"/>
        <bgColor rgb="FFFFFFFF"/>
      </patternFill>
    </fill>
    <fill>
      <patternFill patternType="solid">
        <fgColor rgb="FFE06840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E0"/>
      </left>
      <right style="thin">
        <color rgb="FFD9D2E0"/>
      </right>
      <top style="thin">
        <color rgb="FFD9D2E0"/>
      </top>
      <bottom style="thin">
        <color rgb="FFD9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530AA"/>
      <rgbColor rgb="FFFFF6CC"/>
      <rgbColor rgb="FFF3E9FB"/>
      <rgbColor rgb="FF660066"/>
      <rgbColor rgb="FFFF8080"/>
      <rgbColor rgb="FF0066CC"/>
      <rgbColor rgb="FFD9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6840"/>
      <rgbColor rgb="FF6B6475"/>
      <rgbColor rgb="FF969696"/>
      <rgbColor rgb="FF003366"/>
      <rgbColor rgb="FF339966"/>
      <rgbColor rgb="FF003300"/>
      <rgbColor rgb="FF333300"/>
      <rgbColor rgb="FF993300"/>
      <rgbColor rgb="FF993366"/>
      <rgbColor rgb="FF5A5568"/>
      <rgbColor rgb="FF1A13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6" min="3" style="0" width="16"/>
    <col collapsed="false" customWidth="true" hidden="false" outlineLevel="0" max="7" min="7" style="0" width="46"/>
  </cols>
  <sheetData>
    <row r="1" customFormat="false" ht="27.75" hidden="false" customHeight="true" outlineLevel="0" collapsed="false">
      <c r="B1" s="1" t="s">
        <v>0</v>
      </c>
      <c r="C1" s="1"/>
      <c r="D1" s="1"/>
      <c r="E1" s="1"/>
      <c r="F1" s="1"/>
      <c r="G1" s="1"/>
    </row>
    <row r="2" customFormat="false" ht="27.75" hidden="false" customHeight="true" outlineLevel="0" collapsed="false">
      <c r="B2" s="2" t="s">
        <v>1</v>
      </c>
      <c r="C2" s="2"/>
      <c r="D2" s="2"/>
      <c r="E2" s="2"/>
      <c r="F2" s="2"/>
      <c r="G2" s="2"/>
    </row>
    <row r="4" customFormat="false" ht="30" hidden="false" customHeight="tru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customFormat="false" ht="15" hidden="false" customHeight="false" outlineLevel="0" collapsed="false">
      <c r="B5" s="4" t="s">
        <v>8</v>
      </c>
    </row>
    <row r="6" customFormat="false" ht="23.85" hidden="false" customHeight="false" outlineLevel="0" collapsed="false">
      <c r="B6" s="5" t="s">
        <v>9</v>
      </c>
      <c r="C6" s="6" t="n">
        <v>100000</v>
      </c>
      <c r="D6" s="6" t="n">
        <v>200000</v>
      </c>
      <c r="E6" s="7" t="n">
        <v>170</v>
      </c>
      <c r="F6" s="7" t="n">
        <v>340</v>
      </c>
      <c r="G6" s="8" t="s">
        <v>10</v>
      </c>
    </row>
    <row r="7" customFormat="false" ht="23.85" hidden="false" customHeight="false" outlineLevel="0" collapsed="false">
      <c r="B7" s="5" t="s">
        <v>11</v>
      </c>
      <c r="C7" s="6" t="n">
        <v>200000</v>
      </c>
      <c r="D7" s="6" t="n">
        <v>350000</v>
      </c>
      <c r="E7" s="7" t="n">
        <v>340</v>
      </c>
      <c r="F7" s="7" t="n">
        <v>600</v>
      </c>
      <c r="G7" s="8" t="s">
        <v>12</v>
      </c>
    </row>
    <row r="8" customFormat="false" ht="32.8" hidden="false" customHeight="false" outlineLevel="0" collapsed="false">
      <c r="B8" s="5" t="s">
        <v>13</v>
      </c>
      <c r="C8" s="6" t="n">
        <v>200000</v>
      </c>
      <c r="D8" s="6" t="n">
        <v>350000</v>
      </c>
      <c r="E8" s="7" t="n">
        <v>340</v>
      </c>
      <c r="F8" s="7" t="n">
        <v>600</v>
      </c>
      <c r="G8" s="8" t="s">
        <v>14</v>
      </c>
    </row>
    <row r="9" customFormat="false" ht="22.35" hidden="false" customHeight="false" outlineLevel="0" collapsed="false">
      <c r="B9" s="5" t="s">
        <v>15</v>
      </c>
      <c r="C9" s="6" t="n">
        <v>60000</v>
      </c>
      <c r="D9" s="6" t="n">
        <v>120000</v>
      </c>
      <c r="E9" s="7" t="n">
        <v>100</v>
      </c>
      <c r="F9" s="7" t="n">
        <v>200</v>
      </c>
      <c r="G9" s="8" t="s">
        <v>16</v>
      </c>
    </row>
    <row r="10" customFormat="false" ht="23.85" hidden="false" customHeight="false" outlineLevel="0" collapsed="false">
      <c r="B10" s="5" t="s">
        <v>17</v>
      </c>
      <c r="C10" s="6" t="n">
        <v>60000</v>
      </c>
      <c r="D10" s="6" t="n">
        <v>120000</v>
      </c>
      <c r="E10" s="7" t="n">
        <v>100</v>
      </c>
      <c r="F10" s="7" t="n">
        <v>200</v>
      </c>
      <c r="G10" s="8" t="s">
        <v>18</v>
      </c>
    </row>
    <row r="11" customFormat="false" ht="23.85" hidden="false" customHeight="false" outlineLevel="0" collapsed="false">
      <c r="B11" s="5" t="s">
        <v>19</v>
      </c>
      <c r="C11" s="6" t="n">
        <v>50000</v>
      </c>
      <c r="D11" s="6" t="n">
        <v>150000</v>
      </c>
      <c r="E11" s="7" t="n">
        <v>85</v>
      </c>
      <c r="F11" s="7" t="n">
        <v>250</v>
      </c>
      <c r="G11" s="8" t="s">
        <v>20</v>
      </c>
    </row>
    <row r="13" customFormat="false" ht="15" hidden="false" customHeight="false" outlineLevel="0" collapsed="false">
      <c r="B13" s="4" t="s">
        <v>21</v>
      </c>
    </row>
    <row r="14" customFormat="false" ht="15" hidden="false" customHeight="false" outlineLevel="0" collapsed="false">
      <c r="B14" s="5" t="s">
        <v>22</v>
      </c>
      <c r="C14" s="6" t="n">
        <v>8000</v>
      </c>
      <c r="D14" s="6" t="n">
        <v>15000</v>
      </c>
      <c r="E14" s="7" t="n">
        <v>13</v>
      </c>
      <c r="F14" s="7" t="n">
        <v>25</v>
      </c>
      <c r="G14" s="8" t="s">
        <v>23</v>
      </c>
    </row>
    <row r="15" customFormat="false" ht="15" hidden="false" customHeight="false" outlineLevel="0" collapsed="false">
      <c r="B15" s="5" t="s">
        <v>24</v>
      </c>
      <c r="C15" s="6" t="n">
        <v>10000</v>
      </c>
      <c r="D15" s="6" t="n">
        <v>20000</v>
      </c>
      <c r="E15" s="7" t="n">
        <v>17</v>
      </c>
      <c r="F15" s="7" t="n">
        <v>34</v>
      </c>
      <c r="G15" s="8" t="s">
        <v>25</v>
      </c>
    </row>
    <row r="16" customFormat="false" ht="15" hidden="false" customHeight="false" outlineLevel="0" collapsed="false">
      <c r="B16" s="5" t="s">
        <v>26</v>
      </c>
      <c r="C16" s="6" t="n">
        <v>30000</v>
      </c>
      <c r="D16" s="6" t="n">
        <v>50000</v>
      </c>
      <c r="E16" s="7" t="n">
        <v>50</v>
      </c>
      <c r="F16" s="7" t="n">
        <v>85</v>
      </c>
      <c r="G16" s="8" t="s">
        <v>27</v>
      </c>
    </row>
    <row r="17" customFormat="false" ht="23.85" hidden="false" customHeight="false" outlineLevel="0" collapsed="false">
      <c r="B17" s="5" t="s">
        <v>28</v>
      </c>
      <c r="C17" s="6" t="n">
        <v>150000</v>
      </c>
      <c r="D17" s="6" t="n">
        <v>300000</v>
      </c>
      <c r="E17" s="7" t="n">
        <v>250</v>
      </c>
      <c r="F17" s="7" t="n">
        <v>500</v>
      </c>
      <c r="G17" s="8" t="s">
        <v>29</v>
      </c>
    </row>
    <row r="20" customFormat="false" ht="22.35" hidden="false" customHeight="true" outlineLevel="0" collapsed="false">
      <c r="B20" s="9" t="s">
        <v>30</v>
      </c>
      <c r="C20" s="9"/>
      <c r="D20" s="9"/>
      <c r="E20" s="9"/>
      <c r="F20" s="9"/>
      <c r="G20" s="9"/>
    </row>
  </sheetData>
  <mergeCells count="3">
    <mergeCell ref="B1:G1"/>
    <mergeCell ref="B2:G2"/>
    <mergeCell ref="B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4" min="3" style="0" width="20"/>
    <col collapsed="false" customWidth="true" hidden="false" outlineLevel="0" max="5" min="5" style="0" width="3"/>
    <col collapsed="false" customWidth="true" hidden="false" outlineLevel="0" max="6" min="6" style="0" width="46"/>
  </cols>
  <sheetData>
    <row r="1" customFormat="false" ht="27.75" hidden="false" customHeight="true" outlineLevel="0" collapsed="false">
      <c r="B1" s="1" t="s">
        <v>31</v>
      </c>
      <c r="C1" s="1"/>
      <c r="D1" s="1"/>
    </row>
    <row r="2" customFormat="false" ht="27.75" hidden="false" customHeight="true" outlineLevel="0" collapsed="false">
      <c r="B2" s="2" t="s">
        <v>32</v>
      </c>
      <c r="C2" s="2"/>
      <c r="D2" s="2"/>
    </row>
    <row r="4" customFormat="false" ht="15" hidden="false" customHeight="false" outlineLevel="0" collapsed="false">
      <c r="B4" s="4" t="s">
        <v>33</v>
      </c>
    </row>
    <row r="5" customFormat="false" ht="15" hidden="false" customHeight="false" outlineLevel="0" collapsed="false">
      <c r="B5" s="10" t="s">
        <v>34</v>
      </c>
    </row>
    <row r="6" customFormat="false" ht="15" hidden="false" customHeight="false" outlineLevel="0" collapsed="false">
      <c r="B6" s="11" t="s">
        <v>35</v>
      </c>
    </row>
    <row r="8" customFormat="false" ht="15" hidden="false" customHeight="false" outlineLevel="0" collapsed="false">
      <c r="B8" s="4" t="s">
        <v>36</v>
      </c>
    </row>
    <row r="9" customFormat="false" ht="15" hidden="false" customHeight="false" outlineLevel="0" collapsed="false">
      <c r="B9" s="12" t="s">
        <v>37</v>
      </c>
      <c r="C9" s="13" t="s">
        <v>11</v>
      </c>
      <c r="D9" s="13"/>
    </row>
    <row r="10" customFormat="false" ht="15" hidden="false" customHeight="false" outlineLevel="0" collapsed="false">
      <c r="B10" s="14" t="s">
        <v>38</v>
      </c>
      <c r="C10" s="15" t="n">
        <f aca="false">INDEX('Grille de référence'!$C$6:$C$17,MATCH(C9,'Grille de référence'!$B$6:$B$17,0))</f>
        <v>200000</v>
      </c>
    </row>
    <row r="11" customFormat="false" ht="15" hidden="false" customHeight="false" outlineLevel="0" collapsed="false">
      <c r="B11" s="14" t="s">
        <v>39</v>
      </c>
      <c r="C11" s="15" t="n">
        <f aca="false">INDEX('Grille de référence'!$D$6:$D$17,MATCH(C9,'Grille de référence'!$B$6:$B$17,0))</f>
        <v>350000</v>
      </c>
    </row>
    <row r="12" customFormat="false" ht="15" hidden="false" customHeight="false" outlineLevel="0" collapsed="false">
      <c r="B12" s="14" t="s">
        <v>40</v>
      </c>
      <c r="C12" s="16" t="n">
        <f aca="false">INDEX('Grille de référence'!$E$6:$E$17,MATCH(C9,'Grille de référence'!$B$6:$B$17,0))</f>
        <v>340</v>
      </c>
    </row>
    <row r="13" customFormat="false" ht="15" hidden="false" customHeight="false" outlineLevel="0" collapsed="false">
      <c r="B13" s="14" t="s">
        <v>41</v>
      </c>
      <c r="C13" s="16" t="n">
        <f aca="false">INDEX('Grille de référence'!$F$6:$F$17,MATCH(C9,'Grille de référence'!$B$6:$B$17,0))</f>
        <v>600</v>
      </c>
    </row>
    <row r="15" customFormat="false" ht="15" hidden="false" customHeight="false" outlineLevel="0" collapsed="false">
      <c r="B15" s="4" t="s">
        <v>42</v>
      </c>
    </row>
    <row r="16" customFormat="false" ht="15" hidden="false" customHeight="false" outlineLevel="0" collapsed="false">
      <c r="B16" s="12" t="s">
        <v>43</v>
      </c>
      <c r="C16" s="13" t="n">
        <v>24</v>
      </c>
    </row>
    <row r="17" customFormat="false" ht="15" hidden="false" customHeight="false" outlineLevel="0" collapsed="false">
      <c r="B17" s="12" t="s">
        <v>44</v>
      </c>
      <c r="C17" s="17" t="n">
        <v>60000</v>
      </c>
    </row>
    <row r="18" customFormat="false" ht="15" hidden="false" customHeight="false" outlineLevel="0" collapsed="false">
      <c r="B18" s="12" t="s">
        <v>45</v>
      </c>
      <c r="C18" s="13" t="n">
        <v>8</v>
      </c>
    </row>
    <row r="19" customFormat="false" ht="15" hidden="false" customHeight="false" outlineLevel="0" collapsed="false">
      <c r="B19" s="12" t="s">
        <v>46</v>
      </c>
      <c r="C19" s="13" t="n">
        <v>590</v>
      </c>
    </row>
    <row r="21" customFormat="false" ht="15" hidden="false" customHeight="false" outlineLevel="0" collapsed="false">
      <c r="B21" s="14" t="s">
        <v>47</v>
      </c>
      <c r="C21" s="15" t="n">
        <f aca="false">C17/C18</f>
        <v>7500</v>
      </c>
    </row>
    <row r="22" customFormat="false" ht="16.15" hidden="false" customHeight="false" outlineLevel="0" collapsed="false">
      <c r="B22" s="12" t="s">
        <v>48</v>
      </c>
      <c r="C22" s="18" t="n">
        <f aca="false">C16*C21</f>
        <v>180000</v>
      </c>
    </row>
    <row r="23" customFormat="false" ht="15" hidden="false" customHeight="false" outlineLevel="0" collapsed="false">
      <c r="B23" s="12" t="s">
        <v>49</v>
      </c>
      <c r="C23" s="16" t="n">
        <f aca="false">C22/C19</f>
        <v>305.084745762712</v>
      </c>
    </row>
    <row r="24" customFormat="false" ht="48" hidden="false" customHeight="true" outlineLevel="0" collapsed="false">
      <c r="B24" s="19" t="s">
        <v>50</v>
      </c>
      <c r="C24" s="20" t="str">
        <f aca="false">IF(C22&lt;C10,"Sous la fourchette — marge de négociation possible à la hausse",IF(C22&gt;C11,"Au-dessus de la fourchette — vérifier la complexité réelle avant de confirmer","Dans la fourchette indicative"))</f>
        <v>Sous la fourchette — marge de négociation possible à la hausse</v>
      </c>
      <c r="D24" s="20"/>
    </row>
    <row r="26" customFormat="false" ht="15" hidden="false" customHeight="false" outlineLevel="0" collapsed="false">
      <c r="B26" s="4" t="s">
        <v>51</v>
      </c>
    </row>
    <row r="27" customFormat="false" ht="15" hidden="false" customHeight="true" outlineLevel="0" collapsed="false">
      <c r="F27" s="9" t="s">
        <v>52</v>
      </c>
    </row>
    <row r="28" customFormat="false" ht="15" hidden="false" customHeight="false" outlineLevel="0" collapsed="false">
      <c r="B28" s="12" t="s">
        <v>53</v>
      </c>
      <c r="C28" s="13" t="n">
        <v>40</v>
      </c>
      <c r="F28" s="9"/>
    </row>
    <row r="29" customFormat="false" ht="15" hidden="false" customHeight="false" outlineLevel="0" collapsed="false">
      <c r="B29" s="12" t="s">
        <v>54</v>
      </c>
      <c r="C29" s="17" t="n">
        <v>5000</v>
      </c>
      <c r="F29" s="9"/>
    </row>
    <row r="30" customFormat="false" ht="15" hidden="false" customHeight="false" outlineLevel="0" collapsed="false">
      <c r="B30" s="14" t="s">
        <v>55</v>
      </c>
      <c r="C30" s="15" t="n">
        <f aca="false">C28*C29</f>
        <v>200000</v>
      </c>
      <c r="F30" s="9"/>
    </row>
    <row r="31" customFormat="false" ht="15" hidden="false" customHeight="false" outlineLevel="0" collapsed="false">
      <c r="B31" s="12" t="s">
        <v>56</v>
      </c>
      <c r="C31" s="21" t="n">
        <f aca="false">IF(C30=0,"n/d",C22/C30)</f>
        <v>0.9</v>
      </c>
      <c r="F31" s="9"/>
    </row>
    <row r="32" customFormat="false" ht="48" hidden="false" customHeight="true" outlineLevel="0" collapsed="false">
      <c r="B32" s="19" t="s">
        <v>57</v>
      </c>
      <c r="C32" s="20" t="str">
        <f aca="false">IF(C30=0,"n/d",IF(C22&lt;0.5*C30,"Prix nettement inférieur à la valeur récupérée — presque toujours acceptable pour le client",IF(C22&lt;C30,"Prix proche de la valeur récupérée — encore défendable","Prix supérieur à la valeur récupérée — à justifier auprès du client")))</f>
        <v>Prix proche de la valeur récupérée — encore défendable</v>
      </c>
      <c r="D32" s="20"/>
      <c r="F32" s="9"/>
    </row>
  </sheetData>
  <mergeCells count="6">
    <mergeCell ref="B1:D1"/>
    <mergeCell ref="B2:D2"/>
    <mergeCell ref="C9:D9"/>
    <mergeCell ref="C24:D24"/>
    <mergeCell ref="F27:F32"/>
    <mergeCell ref="C32:D32"/>
  </mergeCells>
  <dataValidations count="1">
    <dataValidation allowBlank="false" errorStyle="stop" operator="between" showDropDown="false" showErrorMessage="false" showInputMessage="false" sqref="C9" type="list">
      <formula1>'Grille de référence'!$B$6:$B$17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2026-08-11T05:50:50Z</dcterms:created>
  <dc:creator>openpyxl</dc:creator>
  <dc:description/>
  <dc:language>fr-FR</dc:language>
  <cp:lastModifiedBy/>
  <dcterms:modified xsi:type="dcterms:W3CDTF">2026-08-11T05:50:50Z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